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trath-my.sharepoint.com/personal/daniel_larcombe_strath_ac_uk/Documents/Postdoc/Clav assays/Spec assays/"/>
    </mc:Choice>
  </mc:AlternateContent>
  <xr:revisionPtr revIDLastSave="21" documentId="13_ncr:1_{FE3B2334-31EE-40A9-9D64-4492D3A05DDE}" xr6:coauthVersionLast="47" xr6:coauthVersionMax="47" xr10:uidLastSave="{29F0AE89-4CEB-4984-A12D-E179D15ACAEE}"/>
  <bookViews>
    <workbookView xWindow="-120" yWindow="-120" windowWidth="29040" windowHeight="17640" xr2:uid="{6A42D6D3-4AFD-4112-9D2D-BAE9BF6E25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W20" i="1" l="1"/>
  <c r="X20" i="1"/>
  <c r="V20" i="1"/>
  <c r="W17" i="1"/>
  <c r="X17" i="1"/>
  <c r="V17" i="1"/>
  <c r="W15" i="1"/>
  <c r="X15" i="1"/>
  <c r="V15" i="1"/>
  <c r="AA78" i="1"/>
  <c r="AA74" i="1"/>
  <c r="AA70" i="1"/>
  <c r="AA66" i="1"/>
  <c r="AA62" i="1"/>
  <c r="Z78" i="1"/>
  <c r="Z74" i="1"/>
  <c r="Z70" i="1"/>
  <c r="Z66" i="1"/>
  <c r="Z62" i="1"/>
  <c r="S44" i="1"/>
  <c r="U57" i="1"/>
  <c r="T57" i="1"/>
  <c r="S57" i="1"/>
  <c r="T42" i="1"/>
  <c r="S43" i="1"/>
  <c r="T43" i="1"/>
  <c r="U43" i="1"/>
  <c r="T44" i="1"/>
  <c r="V44" i="1" s="1"/>
  <c r="U44" i="1"/>
  <c r="S45" i="1"/>
  <c r="T45" i="1"/>
  <c r="U45" i="1"/>
  <c r="T46" i="1"/>
  <c r="W46" i="1" s="1"/>
  <c r="U46" i="1"/>
  <c r="S47" i="1"/>
  <c r="T47" i="1"/>
  <c r="U47" i="1"/>
  <c r="S48" i="1"/>
  <c r="T48" i="1"/>
  <c r="U48" i="1"/>
  <c r="S49" i="1"/>
  <c r="T49" i="1"/>
  <c r="U49" i="1"/>
  <c r="S50" i="1"/>
  <c r="T50" i="1"/>
  <c r="U50" i="1"/>
  <c r="S51" i="1"/>
  <c r="T51" i="1"/>
  <c r="U51" i="1"/>
  <c r="S52" i="1"/>
  <c r="T52" i="1"/>
  <c r="U52" i="1"/>
  <c r="S53" i="1"/>
  <c r="T53" i="1"/>
  <c r="U53" i="1"/>
  <c r="S54" i="1"/>
  <c r="T54" i="1"/>
  <c r="U54" i="1"/>
  <c r="S55" i="1"/>
  <c r="T55" i="1"/>
  <c r="U55" i="1"/>
  <c r="S56" i="1"/>
  <c r="T56" i="1"/>
  <c r="U56" i="1"/>
  <c r="U42" i="1"/>
  <c r="D12" i="1"/>
  <c r="F17" i="1" s="1"/>
  <c r="D11" i="1"/>
  <c r="E31" i="1" s="1"/>
  <c r="E51" i="1" s="1"/>
  <c r="V50" i="1" l="1"/>
  <c r="W57" i="1"/>
  <c r="V48" i="1"/>
  <c r="W56" i="1"/>
  <c r="W55" i="1"/>
  <c r="W43" i="1"/>
  <c r="W49" i="1"/>
  <c r="V53" i="1"/>
  <c r="E27" i="1"/>
  <c r="E47" i="1" s="1"/>
  <c r="F30" i="1"/>
  <c r="F50" i="1" s="1"/>
  <c r="D18" i="1"/>
  <c r="F27" i="1"/>
  <c r="F47" i="1" s="1"/>
  <c r="E30" i="1"/>
  <c r="E50" i="1" s="1"/>
  <c r="W50" i="1"/>
  <c r="W44" i="1"/>
  <c r="F33" i="1"/>
  <c r="F53" i="1" s="1"/>
  <c r="D22" i="1"/>
  <c r="D42" i="1" s="1"/>
  <c r="F29" i="1"/>
  <c r="F49" i="1" s="1"/>
  <c r="W47" i="1"/>
  <c r="W48" i="1"/>
  <c r="D27" i="1"/>
  <c r="D47" i="1" s="1"/>
  <c r="D32" i="1"/>
  <c r="D52" i="1" s="1"/>
  <c r="F22" i="1"/>
  <c r="F42" i="1" s="1"/>
  <c r="D34" i="1"/>
  <c r="D54" i="1" s="1"/>
  <c r="V52" i="1"/>
  <c r="W52" i="1"/>
  <c r="F24" i="1"/>
  <c r="F44" i="1" s="1"/>
  <c r="E24" i="1"/>
  <c r="E44" i="1" s="1"/>
  <c r="F34" i="1"/>
  <c r="F54" i="1" s="1"/>
  <c r="V54" i="1"/>
  <c r="V45" i="1"/>
  <c r="W42" i="1"/>
  <c r="D36" i="1"/>
  <c r="D56" i="1" s="1"/>
  <c r="F25" i="1"/>
  <c r="F45" i="1" s="1"/>
  <c r="E34" i="1"/>
  <c r="E54" i="1" s="1"/>
  <c r="W53" i="1"/>
  <c r="W51" i="1"/>
  <c r="W45" i="1"/>
  <c r="V57" i="1"/>
  <c r="Y57" i="1" s="1"/>
  <c r="V49" i="1"/>
  <c r="E22" i="1"/>
  <c r="E42" i="1" s="1"/>
  <c r="D35" i="1"/>
  <c r="D55" i="1" s="1"/>
  <c r="E33" i="1"/>
  <c r="E53" i="1" s="1"/>
  <c r="D29" i="1"/>
  <c r="D49" i="1" s="1"/>
  <c r="V46" i="1"/>
  <c r="D15" i="1"/>
  <c r="F23" i="1"/>
  <c r="F43" i="1" s="1"/>
  <c r="D26" i="1"/>
  <c r="D46" i="1" s="1"/>
  <c r="D30" i="1"/>
  <c r="D50" i="1" s="1"/>
  <c r="E36" i="1"/>
  <c r="E56" i="1" s="1"/>
  <c r="E32" i="1"/>
  <c r="E52" i="1" s="1"/>
  <c r="E28" i="1"/>
  <c r="E48" i="1" s="1"/>
  <c r="W54" i="1"/>
  <c r="D28" i="1"/>
  <c r="D48" i="1" s="1"/>
  <c r="D25" i="1"/>
  <c r="D45" i="1" s="1"/>
  <c r="F36" i="1"/>
  <c r="F56" i="1" s="1"/>
  <c r="F28" i="1"/>
  <c r="F48" i="1" s="1"/>
  <c r="F15" i="1"/>
  <c r="E23" i="1"/>
  <c r="E43" i="1" s="1"/>
  <c r="F26" i="1"/>
  <c r="F46" i="1" s="1"/>
  <c r="D31" i="1"/>
  <c r="D51" i="1" s="1"/>
  <c r="F35" i="1"/>
  <c r="F55" i="1" s="1"/>
  <c r="F31" i="1"/>
  <c r="F51" i="1" s="1"/>
  <c r="V43" i="1"/>
  <c r="V47" i="1"/>
  <c r="V51" i="1"/>
  <c r="V55" i="1"/>
  <c r="E25" i="1"/>
  <c r="E45" i="1" s="1"/>
  <c r="E29" i="1"/>
  <c r="E49" i="1" s="1"/>
  <c r="D23" i="1"/>
  <c r="D43" i="1" s="1"/>
  <c r="F32" i="1"/>
  <c r="F52" i="1" s="1"/>
  <c r="E17" i="1"/>
  <c r="D24" i="1"/>
  <c r="D44" i="1" s="1"/>
  <c r="E26" i="1"/>
  <c r="E46" i="1" s="1"/>
  <c r="D33" i="1"/>
  <c r="D53" i="1" s="1"/>
  <c r="E35" i="1"/>
  <c r="E55" i="1" s="1"/>
  <c r="V56" i="1"/>
  <c r="V42" i="1"/>
  <c r="E15" i="1"/>
  <c r="F18" i="1"/>
  <c r="F16" i="1"/>
  <c r="D19" i="1"/>
  <c r="D16" i="1"/>
  <c r="E18" i="1"/>
  <c r="E16" i="1"/>
  <c r="F19" i="1"/>
  <c r="D17" i="1"/>
  <c r="E19" i="1"/>
  <c r="H47" i="1" l="1"/>
  <c r="G18" i="1"/>
  <c r="H52" i="1"/>
  <c r="G56" i="1"/>
  <c r="Y56" i="1" s="1"/>
  <c r="H18" i="1"/>
  <c r="G47" i="1"/>
  <c r="Y47" i="1" s="1"/>
  <c r="H54" i="1"/>
  <c r="G42" i="1"/>
  <c r="H56" i="1"/>
  <c r="G54" i="1"/>
  <c r="Y54" i="1" s="1"/>
  <c r="H15" i="1"/>
  <c r="G53" i="1"/>
  <c r="Y53" i="1" s="1"/>
  <c r="H53" i="1"/>
  <c r="G55" i="1"/>
  <c r="Y55" i="1" s="1"/>
  <c r="H55" i="1"/>
  <c r="H44" i="1"/>
  <c r="G44" i="1"/>
  <c r="Y44" i="1" s="1"/>
  <c r="H50" i="1"/>
  <c r="G50" i="1"/>
  <c r="Y50" i="1" s="1"/>
  <c r="G45" i="1"/>
  <c r="Y45" i="1" s="1"/>
  <c r="H45" i="1"/>
  <c r="H42" i="1"/>
  <c r="G52" i="1"/>
  <c r="Y52" i="1" s="1"/>
  <c r="G49" i="1"/>
  <c r="Y49" i="1" s="1"/>
  <c r="H49" i="1"/>
  <c r="Y42" i="1"/>
  <c r="H43" i="1"/>
  <c r="G43" i="1"/>
  <c r="Y43" i="1" s="1"/>
  <c r="G48" i="1"/>
  <c r="Y48" i="1" s="1"/>
  <c r="H48" i="1"/>
  <c r="G46" i="1"/>
  <c r="Y46" i="1" s="1"/>
  <c r="H46" i="1"/>
  <c r="G15" i="1"/>
  <c r="G51" i="1"/>
  <c r="Y51" i="1" s="1"/>
  <c r="H51" i="1"/>
  <c r="G19" i="1"/>
  <c r="H19" i="1"/>
  <c r="G17" i="1"/>
  <c r="H17" i="1"/>
  <c r="G16" i="1"/>
  <c r="H16" i="1"/>
  <c r="Z54" i="1" l="1"/>
  <c r="AA54" i="1"/>
  <c r="Z45" i="1"/>
  <c r="AA48" i="1"/>
  <c r="Z48" i="1"/>
  <c r="AA45" i="1"/>
  <c r="AA51" i="1"/>
  <c r="Z51" i="1"/>
  <c r="AA42" i="1"/>
  <c r="Z42" i="1"/>
</calcChain>
</file>

<file path=xl/sharedStrings.xml><?xml version="1.0" encoding="utf-8"?>
<sst xmlns="http://schemas.openxmlformats.org/spreadsheetml/2006/main" count="121" uniqueCount="54">
  <si>
    <t>Temperature(¡C)</t>
  </si>
  <si>
    <t>350 ug/ml Std</t>
  </si>
  <si>
    <t>400 ug/ml Std</t>
  </si>
  <si>
    <t>300 ug/ml Std</t>
  </si>
  <si>
    <t>250 ug/ml Std</t>
  </si>
  <si>
    <t>200 ug/ml Std</t>
  </si>
  <si>
    <t>Water Blank</t>
  </si>
  <si>
    <t>TSB Blank</t>
  </si>
  <si>
    <t>SC2.1</t>
  </si>
  <si>
    <t>SC2.2</t>
  </si>
  <si>
    <t>SC2.3</t>
  </si>
  <si>
    <t>SC3.1</t>
  </si>
  <si>
    <t>SC3.2</t>
  </si>
  <si>
    <t>SC3.3</t>
  </si>
  <si>
    <t>SC4.1</t>
  </si>
  <si>
    <t>SC4.2</t>
  </si>
  <si>
    <t>SC4.3</t>
  </si>
  <si>
    <t>SC5.1</t>
  </si>
  <si>
    <t>SC5.2</t>
  </si>
  <si>
    <t>SC5.3</t>
  </si>
  <si>
    <t>SC6.1</t>
  </si>
  <si>
    <t>SC6.2</t>
  </si>
  <si>
    <t>SC6.3</t>
  </si>
  <si>
    <t>Imidazole only</t>
  </si>
  <si>
    <t>Empty</t>
  </si>
  <si>
    <t>Media Blank=</t>
  </si>
  <si>
    <t>H2O Blank=</t>
  </si>
  <si>
    <t>Key:</t>
  </si>
  <si>
    <t>Standards:</t>
  </si>
  <si>
    <t>AVG</t>
  </si>
  <si>
    <t>STDev</t>
  </si>
  <si>
    <t>100ug/ml Std</t>
  </si>
  <si>
    <t>SC2</t>
  </si>
  <si>
    <t>SC3</t>
  </si>
  <si>
    <t>Technical AVG</t>
  </si>
  <si>
    <t>Baseline subtraction:</t>
  </si>
  <si>
    <t>Clav ug/ml (in 50ml)</t>
  </si>
  <si>
    <t>Dry weights:</t>
  </si>
  <si>
    <t>A</t>
  </si>
  <si>
    <t>B</t>
  </si>
  <si>
    <t>C</t>
  </si>
  <si>
    <t>Pre weight (mg)</t>
  </si>
  <si>
    <t>Post weight (mg)</t>
  </si>
  <si>
    <t>MEDIA ONLY</t>
  </si>
  <si>
    <t>Gross</t>
  </si>
  <si>
    <t>SC4</t>
  </si>
  <si>
    <t>SC5</t>
  </si>
  <si>
    <t>SC6</t>
  </si>
  <si>
    <t>ug clav per mg dry weight</t>
  </si>
  <si>
    <t>repeats</t>
  </si>
  <si>
    <t>StDev</t>
  </si>
  <si>
    <t>Strain</t>
  </si>
  <si>
    <t>Summary for plotting</t>
  </si>
  <si>
    <t>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</si>
</sst>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3" fillId="0" borderId="0" xfId="0" applyFont="1"/>
    <xf numFmtId="2" fontId="1" fillId="0" borderId="0" xfId="0" applyNumberFormat="1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Fill="1"/>
    <xf numFmtId="0" fontId="1" fillId="0" borderId="0" xfId="0" applyFont="1" applyBorder="1"/>
    <xf numFmtId="0" fontId="0" fillId="0" borderId="0" xfId="0" applyBorder="1"/>
    <xf numFmtId="0" fontId="0" fillId="0" borderId="1" xfId="0" applyBorder="1"/>
    <xf numFmtId="0" fontId="1" fillId="0" borderId="2" xfId="0" applyFont="1" applyBorder="1"/>
    <xf numFmtId="0" fontId="0" fillId="0" borderId="3" xfId="0" applyBorder="1"/>
    <xf numFmtId="0" fontId="0" fillId="0" borderId="4" xfId="0" applyBorder="1"/>
    <xf numFmtId="0" fontId="1" fillId="0" borderId="5" xfId="0" applyFont="1" applyBorder="1"/>
    <xf numFmtId="0" fontId="1" fillId="0" borderId="6" xfId="0" applyFont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8DEF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Sheet1!$G$15:$G$19</c:f>
              <c:numCache>
                <c:formatCode>General</c:formatCode>
                <c:ptCount val="5"/>
                <c:pt idx="0">
                  <c:v>0.89143333333333341</c:v>
                </c:pt>
                <c:pt idx="1">
                  <c:v>0.66113333333333335</c:v>
                </c:pt>
                <c:pt idx="2">
                  <c:v>0.5582666666666668</c:v>
                </c:pt>
                <c:pt idx="3">
                  <c:v>0.43866666666666676</c:v>
                </c:pt>
                <c:pt idx="4">
                  <c:v>0.22189999999999999</c:v>
                </c:pt>
              </c:numCache>
            </c:numRef>
          </c:xVal>
          <c:yVal>
            <c:numRef>
              <c:f>Sheet1!$C$15:$C$19</c:f>
              <c:numCache>
                <c:formatCode>General</c:formatCode>
                <c:ptCount val="5"/>
                <c:pt idx="0">
                  <c:v>400</c:v>
                </c:pt>
                <c:pt idx="1">
                  <c:v>300</c:v>
                </c:pt>
                <c:pt idx="2">
                  <c:v>250</c:v>
                </c:pt>
                <c:pt idx="3">
                  <c:v>200</c:v>
                </c:pt>
                <c:pt idx="4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995-4076-BA4F-9FB8E81446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6699680"/>
        <c:axId val="1666703424"/>
      </c:scatterChart>
      <c:valAx>
        <c:axId val="16666996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703424"/>
        <c:crosses val="autoZero"/>
        <c:crossBetween val="midCat"/>
      </c:valAx>
      <c:valAx>
        <c:axId val="1666703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6996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GB" sz="1800" b="1"/>
              <a:t>Yield of Clavulanate from GSK lineage strains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C8DEF9"/>
            </a:solidFill>
            <a:ln w="22225"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Sheet1!$AF$42:$AF$46</c:f>
                <c:numCache>
                  <c:formatCode>General</c:formatCode>
                  <c:ptCount val="5"/>
                  <c:pt idx="0">
                    <c:v>10.976371545983323</c:v>
                  </c:pt>
                  <c:pt idx="1">
                    <c:v>22.611002695461799</c:v>
                  </c:pt>
                  <c:pt idx="2">
                    <c:v>19.226674151368954</c:v>
                  </c:pt>
                  <c:pt idx="3">
                    <c:v>2.6433048608981857</c:v>
                  </c:pt>
                  <c:pt idx="4">
                    <c:v>29.582190747157519</c:v>
                  </c:pt>
                </c:numCache>
              </c:numRef>
            </c:plus>
            <c:minus>
              <c:numRef>
                <c:f>Sheet1!$AF$42:$AF$46</c:f>
                <c:numCache>
                  <c:formatCode>General</c:formatCode>
                  <c:ptCount val="5"/>
                  <c:pt idx="0">
                    <c:v>10.976371545983323</c:v>
                  </c:pt>
                  <c:pt idx="1">
                    <c:v>22.611002695461799</c:v>
                  </c:pt>
                  <c:pt idx="2">
                    <c:v>19.226674151368954</c:v>
                  </c:pt>
                  <c:pt idx="3">
                    <c:v>2.6433048608981857</c:v>
                  </c:pt>
                  <c:pt idx="4">
                    <c:v>29.582190747157519</c:v>
                  </c:pt>
                </c:numCache>
              </c:numRef>
            </c:minus>
            <c:spPr>
              <a:noFill/>
              <a:ln w="22225" cap="flat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strRef>
              <c:f>Sheet1!$AE$42:$AE$46</c:f>
              <c:strCache>
                <c:ptCount val="5"/>
                <c:pt idx="0">
                  <c:v>SC2</c:v>
                </c:pt>
                <c:pt idx="1">
                  <c:v>SC3</c:v>
                </c:pt>
                <c:pt idx="2">
                  <c:v>SC4</c:v>
                </c:pt>
                <c:pt idx="3">
                  <c:v>SC5</c:v>
                </c:pt>
                <c:pt idx="4">
                  <c:v>SC6</c:v>
                </c:pt>
              </c:strCache>
            </c:strRef>
          </c:cat>
          <c:val>
            <c:numRef>
              <c:f>Sheet1!$AD$42:$AD$46</c:f>
              <c:numCache>
                <c:formatCode>General</c:formatCode>
                <c:ptCount val="5"/>
                <c:pt idx="0">
                  <c:v>38.844100824457534</c:v>
                </c:pt>
                <c:pt idx="1">
                  <c:v>99.615169696970554</c:v>
                </c:pt>
                <c:pt idx="2">
                  <c:v>116.715112592593</c:v>
                </c:pt>
                <c:pt idx="3">
                  <c:v>35.428923428932649</c:v>
                </c:pt>
                <c:pt idx="4">
                  <c:v>59.446697522350725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95-4D23-A299-09B955A116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6"/>
        <c:axId val="1092488608"/>
        <c:axId val="1092489024"/>
      </c:barChart>
      <c:catAx>
        <c:axId val="10924886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GB" sz="1400" b="1"/>
                  <a:t>Strain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092489024"/>
        <c:crosses val="autoZero"/>
        <c:auto val="1"/>
        <c:lblAlgn val="ctr"/>
        <c:lblOffset val="100"/>
        <c:noMultiLvlLbl val="0"/>
      </c:catAx>
      <c:valAx>
        <c:axId val="1092489024"/>
        <c:scaling>
          <c:orientation val="minMax"/>
          <c:max val="150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GB" sz="1600" b="1"/>
                  <a:t>Yield </a:t>
                </a:r>
              </a:p>
              <a:p>
                <a:pPr>
                  <a:defRPr sz="1600" b="1"/>
                </a:pPr>
                <a:r>
                  <a:rPr lang="en-GB" sz="1600" b="1"/>
                  <a:t>(ug clavulanate/mg dry weight)</a:t>
                </a:r>
              </a:p>
            </c:rich>
          </c:tx>
          <c:layout>
            <c:manualLayout>
              <c:xMode val="edge"/>
              <c:yMode val="edge"/>
              <c:x val="4.999375078115236E-3"/>
              <c:y val="0.1357530796899028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2540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0924886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147637</xdr:colOff>
      <xdr:row>11</xdr:row>
      <xdr:rowOff>52387</xdr:rowOff>
    </xdr:from>
    <xdr:to>
      <xdr:col>19</xdr:col>
      <xdr:colOff>452437</xdr:colOff>
      <xdr:row>25</xdr:row>
      <xdr:rowOff>128587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3E3E86A-A922-1E33-00A1-592332D97F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333376</xdr:colOff>
      <xdr:row>12</xdr:row>
      <xdr:rowOff>85725</xdr:rowOff>
    </xdr:from>
    <xdr:to>
      <xdr:col>35</xdr:col>
      <xdr:colOff>369571</xdr:colOff>
      <xdr:row>35</xdr:row>
      <xdr:rowOff>16193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A31C682-93F8-B74D-E4D1-AD8CACE956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1D99A-85F3-4685-A612-7988EB110719}">
  <dimension ref="A1:AF81"/>
  <sheetViews>
    <sheetView tabSelected="1" zoomScale="70" zoomScaleNormal="70" workbookViewId="0">
      <selection activeCell="AI48" sqref="AI48"/>
    </sheetView>
  </sheetViews>
  <sheetFormatPr defaultRowHeight="15" x14ac:dyDescent="0.25"/>
  <cols>
    <col min="24" max="24" width="8.5703125" customWidth="1"/>
    <col min="25" max="25" width="11.42578125" customWidth="1"/>
    <col min="31" max="31" width="9.28515625" customWidth="1"/>
  </cols>
  <sheetData>
    <row r="1" spans="1:27" x14ac:dyDescent="0.25">
      <c r="B1" t="s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 t="s">
        <v>27</v>
      </c>
    </row>
    <row r="2" spans="1:27" x14ac:dyDescent="0.25">
      <c r="B2">
        <v>20.9</v>
      </c>
      <c r="C2">
        <v>1.01</v>
      </c>
      <c r="D2">
        <v>1.0630999999999999</v>
      </c>
      <c r="E2">
        <v>1.083</v>
      </c>
      <c r="F2">
        <v>0.81540000000000001</v>
      </c>
      <c r="G2">
        <v>0.88560000000000005</v>
      </c>
      <c r="H2">
        <v>0.86770000000000003</v>
      </c>
      <c r="I2">
        <v>0.8175</v>
      </c>
      <c r="J2">
        <v>0.82569999999999999</v>
      </c>
      <c r="K2">
        <v>0.82199999999999995</v>
      </c>
      <c r="L2">
        <v>0.72509999999999997</v>
      </c>
      <c r="M2">
        <v>0.71150000000000002</v>
      </c>
      <c r="N2">
        <v>0.72</v>
      </c>
      <c r="P2" s="4" t="s">
        <v>2</v>
      </c>
      <c r="Q2" s="4"/>
      <c r="R2" s="4"/>
      <c r="S2" s="4" t="s">
        <v>1</v>
      </c>
      <c r="T2" s="4"/>
      <c r="U2" s="4"/>
      <c r="V2" s="4" t="s">
        <v>3</v>
      </c>
      <c r="W2" s="4"/>
      <c r="X2" s="4"/>
      <c r="Y2" s="4" t="s">
        <v>4</v>
      </c>
      <c r="Z2" s="4"/>
      <c r="AA2" s="4"/>
    </row>
    <row r="3" spans="1:27" x14ac:dyDescent="0.25">
      <c r="C3">
        <v>0.59750000000000003</v>
      </c>
      <c r="D3">
        <v>0.60099999999999998</v>
      </c>
      <c r="E3">
        <v>0.59930000000000005</v>
      </c>
      <c r="F3">
        <v>0.37859999999999999</v>
      </c>
      <c r="G3">
        <v>0.3851</v>
      </c>
      <c r="H3">
        <v>0.38379999999999997</v>
      </c>
      <c r="I3">
        <v>0.16</v>
      </c>
      <c r="J3">
        <v>0.16009999999999999</v>
      </c>
      <c r="K3">
        <v>0.16170000000000001</v>
      </c>
      <c r="L3">
        <v>0.25590000000000002</v>
      </c>
      <c r="M3">
        <v>0.26069999999999999</v>
      </c>
      <c r="N3">
        <v>0.26440000000000002</v>
      </c>
      <c r="P3" s="4" t="s">
        <v>5</v>
      </c>
      <c r="Q3" s="4"/>
      <c r="R3" s="4"/>
      <c r="S3" s="4" t="s">
        <v>31</v>
      </c>
      <c r="T3" s="4"/>
      <c r="U3" s="4"/>
      <c r="V3" s="4" t="s">
        <v>6</v>
      </c>
      <c r="W3" s="4"/>
      <c r="X3" s="4"/>
      <c r="Y3" s="4" t="s">
        <v>7</v>
      </c>
      <c r="Z3" s="4"/>
      <c r="AA3" s="4"/>
    </row>
    <row r="4" spans="1:27" x14ac:dyDescent="0.25">
      <c r="A4">
        <v>2</v>
      </c>
      <c r="C4">
        <v>0.375</v>
      </c>
      <c r="D4">
        <v>0.37319999999999998</v>
      </c>
      <c r="E4">
        <v>0.37840000000000001</v>
      </c>
      <c r="F4">
        <v>0.34910000000000002</v>
      </c>
      <c r="G4">
        <v>0.34689999999999999</v>
      </c>
      <c r="H4">
        <v>0.34549999999999997</v>
      </c>
      <c r="I4">
        <v>0.375</v>
      </c>
      <c r="J4">
        <v>0.38009999999999999</v>
      </c>
      <c r="K4">
        <v>0.37709999999999999</v>
      </c>
      <c r="L4">
        <v>0.16270000000000001</v>
      </c>
      <c r="M4">
        <v>0.1618</v>
      </c>
      <c r="N4">
        <v>0.16789999999999999</v>
      </c>
      <c r="P4" s="4" t="s">
        <v>8</v>
      </c>
      <c r="Q4" s="4"/>
      <c r="R4" s="4"/>
      <c r="S4" s="4" t="s">
        <v>9</v>
      </c>
      <c r="T4" s="4"/>
      <c r="U4" s="4"/>
      <c r="V4" s="4" t="s">
        <v>10</v>
      </c>
      <c r="W4" s="4"/>
      <c r="X4" s="4"/>
      <c r="Y4" s="4" t="s">
        <v>23</v>
      </c>
      <c r="Z4" s="4"/>
      <c r="AA4" s="4"/>
    </row>
    <row r="5" spans="1:27" x14ac:dyDescent="0.25">
      <c r="A5">
        <v>3</v>
      </c>
      <c r="C5">
        <v>0.36680000000000001</v>
      </c>
      <c r="D5">
        <v>0.37269999999999998</v>
      </c>
      <c r="E5">
        <v>0.36909999999999998</v>
      </c>
      <c r="F5">
        <v>0.36980000000000002</v>
      </c>
      <c r="G5">
        <v>0.3614</v>
      </c>
      <c r="H5">
        <v>0.36659999999999998</v>
      </c>
      <c r="I5">
        <v>0.3674</v>
      </c>
      <c r="J5">
        <v>0.36909999999999998</v>
      </c>
      <c r="K5">
        <v>0.36990000000000001</v>
      </c>
      <c r="L5">
        <v>0.16300000000000001</v>
      </c>
      <c r="M5">
        <v>0.16339999999999999</v>
      </c>
      <c r="N5">
        <v>0.16950000000000001</v>
      </c>
      <c r="P5" s="4" t="s">
        <v>11</v>
      </c>
      <c r="Q5" s="4"/>
      <c r="R5" s="4"/>
      <c r="S5" s="4" t="s">
        <v>12</v>
      </c>
      <c r="T5" s="4"/>
      <c r="U5" s="4"/>
      <c r="V5" s="4" t="s">
        <v>13</v>
      </c>
      <c r="W5" s="4"/>
      <c r="X5" s="4"/>
      <c r="Y5" s="5" t="s">
        <v>24</v>
      </c>
      <c r="Z5" s="5"/>
      <c r="AA5" s="5"/>
    </row>
    <row r="6" spans="1:27" x14ac:dyDescent="0.25">
      <c r="A6">
        <v>4</v>
      </c>
      <c r="C6">
        <v>0.39169999999999999</v>
      </c>
      <c r="D6">
        <v>0.39539999999999997</v>
      </c>
      <c r="E6">
        <v>0.3921</v>
      </c>
      <c r="F6">
        <v>0.37559999999999999</v>
      </c>
      <c r="G6">
        <v>0.37959999999999999</v>
      </c>
      <c r="H6">
        <v>0.38269999999999998</v>
      </c>
      <c r="I6">
        <v>0.38</v>
      </c>
      <c r="J6">
        <v>0.3821</v>
      </c>
      <c r="K6">
        <v>0.37869999999999998</v>
      </c>
      <c r="L6">
        <v>0.16059999999999999</v>
      </c>
      <c r="M6">
        <v>0.16189999999999999</v>
      </c>
      <c r="N6">
        <v>0.17080000000000001</v>
      </c>
      <c r="P6" s="4" t="s">
        <v>14</v>
      </c>
      <c r="Q6" s="4"/>
      <c r="R6" s="4"/>
      <c r="S6" s="4" t="s">
        <v>15</v>
      </c>
      <c r="T6" s="4"/>
      <c r="U6" s="4"/>
      <c r="V6" s="4" t="s">
        <v>16</v>
      </c>
      <c r="W6" s="4"/>
      <c r="X6" s="4"/>
      <c r="Y6" s="5"/>
      <c r="Z6" s="5"/>
      <c r="AA6" s="5"/>
    </row>
    <row r="7" spans="1:27" x14ac:dyDescent="0.25">
      <c r="A7">
        <v>5</v>
      </c>
      <c r="C7">
        <v>0.36009999999999998</v>
      </c>
      <c r="D7">
        <v>0.35909999999999997</v>
      </c>
      <c r="E7">
        <v>0.36170000000000002</v>
      </c>
      <c r="F7">
        <v>0.37830000000000003</v>
      </c>
      <c r="G7">
        <v>0.36609999999999998</v>
      </c>
      <c r="H7">
        <v>0.3659</v>
      </c>
      <c r="I7">
        <v>0.34589999999999999</v>
      </c>
      <c r="J7">
        <v>0.34160000000000001</v>
      </c>
      <c r="K7">
        <v>0.3448</v>
      </c>
      <c r="L7">
        <v>0.16159999999999999</v>
      </c>
      <c r="M7">
        <v>0.1618</v>
      </c>
      <c r="N7">
        <v>0.16669999999999999</v>
      </c>
      <c r="P7" s="4" t="s">
        <v>17</v>
      </c>
      <c r="Q7" s="4"/>
      <c r="R7" s="4"/>
      <c r="S7" s="4" t="s">
        <v>18</v>
      </c>
      <c r="T7" s="4"/>
      <c r="U7" s="4"/>
      <c r="V7" s="4" t="s">
        <v>19</v>
      </c>
      <c r="W7" s="4"/>
      <c r="X7" s="4"/>
      <c r="Y7" s="5"/>
      <c r="Z7" s="5"/>
      <c r="AA7" s="5"/>
    </row>
    <row r="8" spans="1:27" x14ac:dyDescent="0.25">
      <c r="A8">
        <v>6</v>
      </c>
      <c r="C8">
        <v>0.34439999999999998</v>
      </c>
      <c r="D8">
        <v>0.34810000000000002</v>
      </c>
      <c r="E8">
        <v>0.34689999999999999</v>
      </c>
      <c r="F8">
        <v>0.3589</v>
      </c>
      <c r="G8">
        <v>0.36520000000000002</v>
      </c>
      <c r="H8">
        <v>0.35930000000000001</v>
      </c>
      <c r="I8">
        <v>0.34399999999999997</v>
      </c>
      <c r="J8">
        <v>0.33989999999999998</v>
      </c>
      <c r="K8">
        <v>0.34610000000000002</v>
      </c>
      <c r="L8">
        <v>0.16209999999999999</v>
      </c>
      <c r="M8">
        <v>0.16250000000000001</v>
      </c>
      <c r="N8">
        <v>0.16619999999999999</v>
      </c>
      <c r="P8" s="4" t="s">
        <v>20</v>
      </c>
      <c r="Q8" s="4"/>
      <c r="R8" s="4"/>
      <c r="S8" s="4" t="s">
        <v>21</v>
      </c>
      <c r="T8" s="4"/>
      <c r="U8" s="4"/>
      <c r="V8" s="4" t="s">
        <v>22</v>
      </c>
      <c r="W8" s="4"/>
      <c r="X8" s="4"/>
      <c r="Y8" s="5"/>
      <c r="Z8" s="5"/>
      <c r="AA8" s="5"/>
    </row>
    <row r="11" spans="1:27" x14ac:dyDescent="0.25">
      <c r="C11" t="s">
        <v>25</v>
      </c>
      <c r="D11">
        <f>AVERAGE(L3:N3)</f>
        <v>0.26033333333333331</v>
      </c>
    </row>
    <row r="12" spans="1:27" x14ac:dyDescent="0.25">
      <c r="C12" t="s">
        <v>26</v>
      </c>
      <c r="D12">
        <f>AVERAGE(I3:K3)</f>
        <v>0.16059999999999999</v>
      </c>
    </row>
    <row r="14" spans="1:27" x14ac:dyDescent="0.25">
      <c r="C14" t="s">
        <v>28</v>
      </c>
      <c r="D14">
        <v>1</v>
      </c>
      <c r="E14">
        <v>2</v>
      </c>
      <c r="F14">
        <v>3</v>
      </c>
      <c r="G14" t="s">
        <v>29</v>
      </c>
      <c r="H14" t="s">
        <v>30</v>
      </c>
    </row>
    <row r="15" spans="1:27" x14ac:dyDescent="0.25">
      <c r="C15">
        <v>400</v>
      </c>
      <c r="D15">
        <f>C2-$D$12</f>
        <v>0.84940000000000004</v>
      </c>
      <c r="E15">
        <f t="shared" ref="E15:F15" si="0">D2-$D$12</f>
        <v>0.90249999999999997</v>
      </c>
      <c r="F15">
        <f t="shared" si="0"/>
        <v>0.9224</v>
      </c>
      <c r="G15">
        <f>AVERAGE(D15:F15)</f>
        <v>0.89143333333333341</v>
      </c>
      <c r="H15">
        <f>STDEV(D15:F15)</f>
        <v>3.7737293667317096E-2</v>
      </c>
      <c r="V15">
        <f>L3-I3</f>
        <v>9.5900000000000013E-2</v>
      </c>
      <c r="W15">
        <f t="shared" ref="W15:X15" si="1">M3-J3</f>
        <v>0.10059999999999999</v>
      </c>
      <c r="X15">
        <f t="shared" si="1"/>
        <v>0.10270000000000001</v>
      </c>
    </row>
    <row r="16" spans="1:27" x14ac:dyDescent="0.25">
      <c r="C16">
        <v>300</v>
      </c>
      <c r="D16">
        <f>I2-$D$12</f>
        <v>0.65690000000000004</v>
      </c>
      <c r="E16">
        <f t="shared" ref="E16:F16" si="2">J2-$D$12</f>
        <v>0.66510000000000002</v>
      </c>
      <c r="F16">
        <f t="shared" si="2"/>
        <v>0.66139999999999999</v>
      </c>
      <c r="G16">
        <f t="shared" ref="G16:G19" si="3">AVERAGE(D16:F16)</f>
        <v>0.66113333333333335</v>
      </c>
      <c r="H16">
        <f t="shared" ref="H16:H19" si="4">STDEV(D16:F16)</f>
        <v>4.1064989143226689E-3</v>
      </c>
    </row>
    <row r="17" spans="2:24" x14ac:dyDescent="0.25">
      <c r="C17">
        <v>250</v>
      </c>
      <c r="D17">
        <f>L2-$D$12</f>
        <v>0.5645</v>
      </c>
      <c r="E17">
        <f t="shared" ref="E17:F17" si="5">M2-$D$12</f>
        <v>0.55090000000000006</v>
      </c>
      <c r="F17">
        <f t="shared" si="5"/>
        <v>0.55940000000000001</v>
      </c>
      <c r="G17">
        <f t="shared" si="3"/>
        <v>0.5582666666666668</v>
      </c>
      <c r="H17">
        <f t="shared" si="4"/>
        <v>6.8704682033565185E-3</v>
      </c>
      <c r="V17">
        <f>V15/10</f>
        <v>9.5900000000000013E-3</v>
      </c>
      <c r="W17">
        <f t="shared" ref="W17:X17" si="6">W15/10</f>
        <v>1.0059999999999999E-2</v>
      </c>
      <c r="X17">
        <f t="shared" si="6"/>
        <v>1.0270000000000001E-2</v>
      </c>
    </row>
    <row r="18" spans="2:24" x14ac:dyDescent="0.25">
      <c r="C18">
        <v>200</v>
      </c>
      <c r="D18">
        <f>C3-$D$12</f>
        <v>0.43690000000000007</v>
      </c>
      <c r="E18">
        <f t="shared" ref="E18:F18" si="7">D3-$D$12</f>
        <v>0.44040000000000001</v>
      </c>
      <c r="F18">
        <f t="shared" si="7"/>
        <v>0.43870000000000009</v>
      </c>
      <c r="G18">
        <f t="shared" si="3"/>
        <v>0.43866666666666676</v>
      </c>
      <c r="H18">
        <f t="shared" si="4"/>
        <v>1.750238079043318E-3</v>
      </c>
    </row>
    <row r="19" spans="2:24" x14ac:dyDescent="0.25">
      <c r="C19">
        <v>100</v>
      </c>
      <c r="D19">
        <f>F3-$D$12</f>
        <v>0.218</v>
      </c>
      <c r="E19">
        <f t="shared" ref="E19:F19" si="8">G3-$D$12</f>
        <v>0.22450000000000001</v>
      </c>
      <c r="F19">
        <f t="shared" si="8"/>
        <v>0.22319999999999998</v>
      </c>
      <c r="G19">
        <f t="shared" si="3"/>
        <v>0.22189999999999999</v>
      </c>
      <c r="H19">
        <f t="shared" si="4"/>
        <v>3.4394767043839664E-3</v>
      </c>
    </row>
    <row r="20" spans="2:24" x14ac:dyDescent="0.25">
      <c r="V20">
        <f>448.1*V17+1.6285</f>
        <v>5.9257790000000004</v>
      </c>
      <c r="W20">
        <f t="shared" ref="W20:X20" si="9">448.1*W17+1.6285</f>
        <v>6.1363859999999999</v>
      </c>
      <c r="X20">
        <f t="shared" si="9"/>
        <v>6.230487000000001</v>
      </c>
    </row>
    <row r="21" spans="2:24" ht="15" customHeight="1" x14ac:dyDescent="0.25">
      <c r="B21" s="4" t="s">
        <v>35</v>
      </c>
      <c r="C21" s="4"/>
      <c r="D21">
        <v>1</v>
      </c>
      <c r="E21">
        <v>2</v>
      </c>
      <c r="F21">
        <v>3</v>
      </c>
    </row>
    <row r="22" spans="2:24" x14ac:dyDescent="0.25">
      <c r="C22" t="s">
        <v>8</v>
      </c>
      <c r="D22">
        <f>C4-$D$11</f>
        <v>0.11466666666666669</v>
      </c>
      <c r="E22">
        <f t="shared" ref="E22:F22" si="10">D4-$D$11</f>
        <v>0.11286666666666667</v>
      </c>
      <c r="F22">
        <f t="shared" si="10"/>
        <v>0.11806666666666671</v>
      </c>
    </row>
    <row r="23" spans="2:24" x14ac:dyDescent="0.25">
      <c r="C23" t="s">
        <v>9</v>
      </c>
      <c r="D23">
        <f>F4-$D$11</f>
        <v>8.8766666666666716E-2</v>
      </c>
      <c r="E23">
        <f t="shared" ref="E23:F23" si="11">G4-$D$11</f>
        <v>8.6566666666666681E-2</v>
      </c>
      <c r="F23">
        <f t="shared" si="11"/>
        <v>8.5166666666666668E-2</v>
      </c>
    </row>
    <row r="24" spans="2:24" x14ac:dyDescent="0.25">
      <c r="C24" t="s">
        <v>10</v>
      </c>
      <c r="D24">
        <f>I4-$D$11</f>
        <v>0.11466666666666669</v>
      </c>
      <c r="E24">
        <f t="shared" ref="E24:F24" si="12">J4-$D$11</f>
        <v>0.11976666666666669</v>
      </c>
      <c r="F24">
        <f t="shared" si="12"/>
        <v>0.11676666666666669</v>
      </c>
    </row>
    <row r="25" spans="2:24" x14ac:dyDescent="0.25">
      <c r="C25" t="s">
        <v>11</v>
      </c>
      <c r="D25">
        <f>C5-$D$11</f>
        <v>0.10646666666666671</v>
      </c>
      <c r="E25">
        <f t="shared" ref="E25:F25" si="13">D5-$D$11</f>
        <v>0.11236666666666667</v>
      </c>
      <c r="F25">
        <f t="shared" si="13"/>
        <v>0.10876666666666668</v>
      </c>
    </row>
    <row r="26" spans="2:24" x14ac:dyDescent="0.25">
      <c r="C26" t="s">
        <v>12</v>
      </c>
      <c r="D26">
        <f>F5-$D$11</f>
        <v>0.10946666666666671</v>
      </c>
      <c r="E26">
        <f t="shared" ref="E26:F26" si="14">G5-$D$11</f>
        <v>0.10106666666666669</v>
      </c>
      <c r="F26">
        <f t="shared" si="14"/>
        <v>0.10626666666666668</v>
      </c>
    </row>
    <row r="27" spans="2:24" x14ac:dyDescent="0.25">
      <c r="C27" t="s">
        <v>13</v>
      </c>
      <c r="D27">
        <f>I5-$D$11</f>
        <v>0.1070666666666667</v>
      </c>
      <c r="E27">
        <f>J5-$D$11</f>
        <v>0.10876666666666668</v>
      </c>
      <c r="F27">
        <f>K5-$D$11</f>
        <v>0.1095666666666667</v>
      </c>
    </row>
    <row r="28" spans="2:24" x14ac:dyDescent="0.25">
      <c r="C28" t="s">
        <v>14</v>
      </c>
      <c r="D28">
        <f>C6-$D$11</f>
        <v>0.13136666666666669</v>
      </c>
      <c r="E28">
        <f t="shared" ref="E28:F28" si="15">D6-$D$11</f>
        <v>0.13506666666666667</v>
      </c>
      <c r="F28">
        <f t="shared" si="15"/>
        <v>0.1317666666666667</v>
      </c>
    </row>
    <row r="29" spans="2:24" x14ac:dyDescent="0.25">
      <c r="C29" t="s">
        <v>15</v>
      </c>
      <c r="D29">
        <f>F6-$D$11</f>
        <v>0.11526666666666668</v>
      </c>
      <c r="E29">
        <f t="shared" ref="E29:F29" si="16">G6-$D$11</f>
        <v>0.11926666666666669</v>
      </c>
      <c r="F29">
        <f t="shared" si="16"/>
        <v>0.12236666666666668</v>
      </c>
    </row>
    <row r="30" spans="2:24" x14ac:dyDescent="0.25">
      <c r="C30" t="s">
        <v>16</v>
      </c>
      <c r="D30">
        <f>I6-$D$11</f>
        <v>0.1196666666666667</v>
      </c>
      <c r="E30">
        <f t="shared" ref="E30:F30" si="17">J6-$D$11</f>
        <v>0.12176666666666669</v>
      </c>
      <c r="F30">
        <f t="shared" si="17"/>
        <v>0.11836666666666668</v>
      </c>
    </row>
    <row r="31" spans="2:24" x14ac:dyDescent="0.25">
      <c r="C31" t="s">
        <v>17</v>
      </c>
      <c r="D31">
        <f>C7-$D$11</f>
        <v>9.976666666666667E-2</v>
      </c>
      <c r="E31">
        <f t="shared" ref="E31:F31" si="18">D7-$D$11</f>
        <v>9.8766666666666669E-2</v>
      </c>
      <c r="F31">
        <f t="shared" si="18"/>
        <v>0.10136666666666672</v>
      </c>
    </row>
    <row r="32" spans="2:24" x14ac:dyDescent="0.25">
      <c r="C32" t="s">
        <v>18</v>
      </c>
      <c r="D32">
        <f>F7-$D$11</f>
        <v>0.11796666666666672</v>
      </c>
      <c r="E32">
        <f t="shared" ref="E32:F32" si="19">G7-$D$11</f>
        <v>0.10576666666666668</v>
      </c>
      <c r="F32">
        <f t="shared" si="19"/>
        <v>0.1055666666666667</v>
      </c>
    </row>
    <row r="33" spans="3:32" x14ac:dyDescent="0.25">
      <c r="C33" t="s">
        <v>19</v>
      </c>
      <c r="D33">
        <f>I7-$D$11</f>
        <v>8.556666666666668E-2</v>
      </c>
      <c r="E33">
        <f t="shared" ref="E33:F33" si="20">J7-$D$11</f>
        <v>8.1266666666666709E-2</v>
      </c>
      <c r="F33">
        <f t="shared" si="20"/>
        <v>8.446666666666669E-2</v>
      </c>
    </row>
    <row r="34" spans="3:32" x14ac:dyDescent="0.25">
      <c r="C34" t="s">
        <v>20</v>
      </c>
      <c r="D34">
        <f>C8-$D$11</f>
        <v>8.4066666666666678E-2</v>
      </c>
      <c r="E34">
        <f t="shared" ref="E34:F34" si="21">D8-$D$11</f>
        <v>8.7766666666666715E-2</v>
      </c>
      <c r="F34">
        <f t="shared" si="21"/>
        <v>8.6566666666666681E-2</v>
      </c>
    </row>
    <row r="35" spans="3:32" x14ac:dyDescent="0.25">
      <c r="C35" t="s">
        <v>21</v>
      </c>
      <c r="D35">
        <f>F8-$D$11</f>
        <v>9.8566666666666691E-2</v>
      </c>
      <c r="E35">
        <f t="shared" ref="E35:F35" si="22">G8-$D$11</f>
        <v>0.10486666666666672</v>
      </c>
      <c r="F35">
        <f t="shared" si="22"/>
        <v>9.8966666666666703E-2</v>
      </c>
    </row>
    <row r="36" spans="3:32" x14ac:dyDescent="0.25">
      <c r="C36" t="s">
        <v>22</v>
      </c>
      <c r="D36">
        <f>I8-$D$11</f>
        <v>8.3666666666666667E-2</v>
      </c>
      <c r="E36">
        <f t="shared" ref="E36:F36" si="23">J8-$D$11</f>
        <v>7.9566666666666674E-2</v>
      </c>
      <c r="F36">
        <f t="shared" si="23"/>
        <v>8.5766666666666713E-2</v>
      </c>
    </row>
    <row r="40" spans="3:32" x14ac:dyDescent="0.25">
      <c r="C40" s="2" t="s">
        <v>36</v>
      </c>
      <c r="D40" s="2"/>
      <c r="E40" s="2"/>
      <c r="F40" s="2"/>
      <c r="G40" s="2"/>
      <c r="H40" s="2"/>
      <c r="I40" s="2"/>
      <c r="J40" s="2" t="s">
        <v>37</v>
      </c>
      <c r="K40" s="2"/>
      <c r="L40" t="s">
        <v>41</v>
      </c>
      <c r="P40" t="s">
        <v>42</v>
      </c>
      <c r="T40" t="s">
        <v>44</v>
      </c>
      <c r="Y40" s="1" t="s">
        <v>48</v>
      </c>
      <c r="AD40" s="10" t="s">
        <v>52</v>
      </c>
      <c r="AE40" s="11"/>
      <c r="AF40" s="12"/>
    </row>
    <row r="41" spans="3:32" x14ac:dyDescent="0.25">
      <c r="D41">
        <v>1</v>
      </c>
      <c r="E41">
        <v>2</v>
      </c>
      <c r="F41">
        <v>3</v>
      </c>
      <c r="G41" s="1" t="s">
        <v>34</v>
      </c>
      <c r="H41" s="1" t="s">
        <v>30</v>
      </c>
      <c r="K41" t="s">
        <v>38</v>
      </c>
      <c r="L41" t="s">
        <v>39</v>
      </c>
      <c r="M41" t="s">
        <v>40</v>
      </c>
      <c r="O41" t="s">
        <v>38</v>
      </c>
      <c r="P41" t="s">
        <v>39</v>
      </c>
      <c r="Q41" t="s">
        <v>40</v>
      </c>
      <c r="S41" t="s">
        <v>38</v>
      </c>
      <c r="T41" t="s">
        <v>39</v>
      </c>
      <c r="U41" t="s">
        <v>40</v>
      </c>
      <c r="V41" s="1" t="s">
        <v>34</v>
      </c>
      <c r="W41" s="1" t="s">
        <v>30</v>
      </c>
      <c r="Y41" s="1" t="s">
        <v>49</v>
      </c>
      <c r="Z41" s="1" t="s">
        <v>29</v>
      </c>
      <c r="AA41" s="1" t="s">
        <v>50</v>
      </c>
      <c r="AB41" s="1" t="s">
        <v>51</v>
      </c>
      <c r="AD41" s="13" t="s">
        <v>29</v>
      </c>
      <c r="AE41" s="7" t="s">
        <v>51</v>
      </c>
      <c r="AF41" s="14" t="s">
        <v>53</v>
      </c>
    </row>
    <row r="42" spans="3:32" x14ac:dyDescent="0.25">
      <c r="C42" t="s">
        <v>8</v>
      </c>
      <c r="D42">
        <f>448.1*D22+1.6285</f>
        <v>53.010633333333352</v>
      </c>
      <c r="E42">
        <f t="shared" ref="E42:F42" si="24">448.1*E22+1.6285</f>
        <v>52.204053333333341</v>
      </c>
      <c r="F42">
        <f t="shared" si="24"/>
        <v>54.534173333333356</v>
      </c>
      <c r="G42" s="1">
        <f>AVERAGE(D42:F42)</f>
        <v>53.249620000000014</v>
      </c>
      <c r="H42" s="1">
        <f>STDEV(D42:F42)</f>
        <v>1.183300795965823</v>
      </c>
      <c r="J42" t="s">
        <v>8</v>
      </c>
      <c r="L42">
        <v>143.30000000000001</v>
      </c>
      <c r="M42">
        <v>142.19999999999999</v>
      </c>
      <c r="P42" s="6">
        <v>145.6</v>
      </c>
      <c r="Q42">
        <v>143.4</v>
      </c>
      <c r="T42">
        <f>(P42-L42)/2</f>
        <v>1.1499999999999915</v>
      </c>
      <c r="U42">
        <f t="shared" ref="U42" si="25">Q42-M42</f>
        <v>1.2000000000000171</v>
      </c>
      <c r="V42" s="3">
        <f>AVERAGE(T42:U42)</f>
        <v>1.1750000000000043</v>
      </c>
      <c r="W42" s="3">
        <f>STDEV(T42:U42)</f>
        <v>3.5355339059345466E-2</v>
      </c>
      <c r="Y42">
        <f>G42/V42</f>
        <v>45.31882553191474</v>
      </c>
      <c r="Z42">
        <f>AVERAGE(Y42:Y44)</f>
        <v>38.844100824457534</v>
      </c>
      <c r="AA42">
        <f>STDEV(Y42:Y44)</f>
        <v>10.976371545983323</v>
      </c>
      <c r="AB42" t="s">
        <v>32</v>
      </c>
      <c r="AD42" s="15">
        <v>38.844100824457534</v>
      </c>
      <c r="AE42" s="8" t="s">
        <v>32</v>
      </c>
      <c r="AF42" s="16">
        <v>10.976371545983323</v>
      </c>
    </row>
    <row r="43" spans="3:32" x14ac:dyDescent="0.25">
      <c r="C43" t="s">
        <v>9</v>
      </c>
      <c r="D43">
        <f t="shared" ref="D43:F43" si="26">448.1*D23+1.6285</f>
        <v>41.404843333333361</v>
      </c>
      <c r="E43">
        <f t="shared" si="26"/>
        <v>40.419023333333342</v>
      </c>
      <c r="F43">
        <f t="shared" si="26"/>
        <v>39.791683333333339</v>
      </c>
      <c r="G43" s="1">
        <f t="shared" ref="G43:G56" si="27">AVERAGE(D43:F43)</f>
        <v>40.538516666666681</v>
      </c>
      <c r="H43" s="1">
        <f t="shared" ref="H43:H56" si="28">STDEV(D43:F43)</f>
        <v>0.81319142207314998</v>
      </c>
      <c r="J43" t="s">
        <v>9</v>
      </c>
      <c r="K43">
        <v>142.30000000000001</v>
      </c>
      <c r="L43">
        <v>142</v>
      </c>
      <c r="M43">
        <v>144.1</v>
      </c>
      <c r="O43">
        <v>143.19999999999999</v>
      </c>
      <c r="P43">
        <v>143.1</v>
      </c>
      <c r="Q43">
        <v>144.80000000000001</v>
      </c>
      <c r="S43">
        <f t="shared" ref="S43:S57" si="29">O43-K43</f>
        <v>0.89999999999997726</v>
      </c>
      <c r="T43">
        <f t="shared" ref="T43:T57" si="30">P43-L43</f>
        <v>1.0999999999999943</v>
      </c>
      <c r="U43">
        <f t="shared" ref="U43:U57" si="31">Q43-M43</f>
        <v>0.70000000000001705</v>
      </c>
      <c r="V43" s="3">
        <f t="shared" ref="V43:V56" si="32">AVERAGE(S43:U43)</f>
        <v>0.89999999999999625</v>
      </c>
      <c r="W43" s="3">
        <f t="shared" ref="W43:W56" si="33">STDEV(S43:U43)</f>
        <v>0.19999999999998844</v>
      </c>
      <c r="Y43">
        <f t="shared" ref="Y43:Y57" si="34">G43/V43</f>
        <v>45.042796296296501</v>
      </c>
      <c r="AD43" s="15">
        <v>99.615169696970554</v>
      </c>
      <c r="AE43" s="8" t="s">
        <v>33</v>
      </c>
      <c r="AF43" s="16">
        <v>22.611002695461799</v>
      </c>
    </row>
    <row r="44" spans="3:32" x14ac:dyDescent="0.25">
      <c r="C44" t="s">
        <v>10</v>
      </c>
      <c r="D44">
        <f t="shared" ref="D44:F44" si="35">448.1*D24+1.6285</f>
        <v>53.010633333333352</v>
      </c>
      <c r="E44">
        <f t="shared" si="35"/>
        <v>55.295943333333348</v>
      </c>
      <c r="F44">
        <f t="shared" si="35"/>
        <v>53.951643333333344</v>
      </c>
      <c r="G44" s="1">
        <f t="shared" si="27"/>
        <v>54.086073333333353</v>
      </c>
      <c r="H44" s="1">
        <f t="shared" si="28"/>
        <v>1.1485704234830338</v>
      </c>
      <c r="J44" t="s">
        <v>10</v>
      </c>
      <c r="K44">
        <v>142.4</v>
      </c>
      <c r="L44">
        <v>143.1</v>
      </c>
      <c r="M44">
        <v>142.69999999999999</v>
      </c>
      <c r="O44">
        <v>145.69999999999999</v>
      </c>
      <c r="P44">
        <v>144.5</v>
      </c>
      <c r="Q44">
        <v>144.19999999999999</v>
      </c>
      <c r="S44">
        <f t="shared" si="29"/>
        <v>3.2999999999999829</v>
      </c>
      <c r="T44">
        <f t="shared" si="30"/>
        <v>1.4000000000000057</v>
      </c>
      <c r="U44">
        <f t="shared" si="31"/>
        <v>1.5</v>
      </c>
      <c r="V44" s="3">
        <f t="shared" si="32"/>
        <v>2.0666666666666629</v>
      </c>
      <c r="W44" s="3">
        <f t="shared" si="33"/>
        <v>1.0692676621563511</v>
      </c>
      <c r="Y44">
        <f t="shared" si="34"/>
        <v>26.170680645161347</v>
      </c>
      <c r="AD44" s="15">
        <v>116.715112592593</v>
      </c>
      <c r="AE44" s="8" t="s">
        <v>45</v>
      </c>
      <c r="AF44" s="16">
        <v>19.226674151368954</v>
      </c>
    </row>
    <row r="45" spans="3:32" x14ac:dyDescent="0.25">
      <c r="C45" t="s">
        <v>11</v>
      </c>
      <c r="D45">
        <f t="shared" ref="D45:F45" si="36">448.1*D25+1.6285</f>
        <v>49.336213333333355</v>
      </c>
      <c r="E45">
        <f t="shared" si="36"/>
        <v>51.980003333333343</v>
      </c>
      <c r="F45">
        <f t="shared" si="36"/>
        <v>50.366843333333343</v>
      </c>
      <c r="G45" s="1">
        <f t="shared" si="27"/>
        <v>50.561020000000013</v>
      </c>
      <c r="H45" s="1">
        <f t="shared" si="28"/>
        <v>1.3325482446925963</v>
      </c>
      <c r="J45" t="s">
        <v>11</v>
      </c>
      <c r="K45">
        <v>143.80000000000001</v>
      </c>
      <c r="L45">
        <v>142.6</v>
      </c>
      <c r="M45">
        <v>141.6</v>
      </c>
      <c r="O45">
        <v>144.5</v>
      </c>
      <c r="P45">
        <v>143.1</v>
      </c>
      <c r="Q45">
        <v>142.19999999999999</v>
      </c>
      <c r="S45">
        <f t="shared" si="29"/>
        <v>0.69999999999998863</v>
      </c>
      <c r="T45">
        <f t="shared" si="30"/>
        <v>0.5</v>
      </c>
      <c r="U45">
        <f t="shared" si="31"/>
        <v>0.59999999999999432</v>
      </c>
      <c r="V45" s="3">
        <f t="shared" si="32"/>
        <v>0.59999999999999432</v>
      </c>
      <c r="W45" s="3">
        <f t="shared" si="33"/>
        <v>9.9999999999994496E-2</v>
      </c>
      <c r="Y45">
        <f t="shared" si="34"/>
        <v>84.26836666666749</v>
      </c>
      <c r="Z45">
        <f>AVERAGE(Y45:Y47)</f>
        <v>99.615169696970554</v>
      </c>
      <c r="AA45">
        <f>STDEV(Y45:Y47)</f>
        <v>22.611002695461799</v>
      </c>
      <c r="AB45" t="s">
        <v>33</v>
      </c>
      <c r="AD45" s="15">
        <v>35.428923428932649</v>
      </c>
      <c r="AE45" s="8" t="s">
        <v>46</v>
      </c>
      <c r="AF45" s="16">
        <v>2.6433048608981857</v>
      </c>
    </row>
    <row r="46" spans="3:32" x14ac:dyDescent="0.25">
      <c r="C46" t="s">
        <v>12</v>
      </c>
      <c r="D46">
        <f t="shared" ref="D46:F46" si="37">448.1*D26+1.6285</f>
        <v>50.680513333333359</v>
      </c>
      <c r="E46">
        <f t="shared" si="37"/>
        <v>46.91647333333335</v>
      </c>
      <c r="F46">
        <f t="shared" si="37"/>
        <v>49.246593333333344</v>
      </c>
      <c r="G46" s="1">
        <f t="shared" si="27"/>
        <v>48.94786000000002</v>
      </c>
      <c r="H46" s="1">
        <f t="shared" si="28"/>
        <v>1.8997185275017312</v>
      </c>
      <c r="J46" t="s">
        <v>12</v>
      </c>
      <c r="K46">
        <v>144.30000000000001</v>
      </c>
      <c r="L46">
        <v>144.69999999999999</v>
      </c>
      <c r="M46">
        <v>144.9</v>
      </c>
      <c r="O46">
        <v>144.30000000000001</v>
      </c>
      <c r="P46">
        <v>145.19999999999999</v>
      </c>
      <c r="Q46">
        <v>145.5</v>
      </c>
      <c r="T46">
        <f t="shared" si="30"/>
        <v>0.5</v>
      </c>
      <c r="U46">
        <f t="shared" si="31"/>
        <v>0.59999999999999432</v>
      </c>
      <c r="V46" s="3">
        <f t="shared" si="32"/>
        <v>0.54999999999999716</v>
      </c>
      <c r="W46" s="3">
        <f t="shared" si="33"/>
        <v>7.0710678118650741E-2</v>
      </c>
      <c r="Y46">
        <f t="shared" si="34"/>
        <v>88.996109090909584</v>
      </c>
      <c r="AD46" s="17">
        <v>59.446697522350725</v>
      </c>
      <c r="AE46" s="9" t="s">
        <v>47</v>
      </c>
      <c r="AF46" s="18">
        <v>29.582190747157519</v>
      </c>
    </row>
    <row r="47" spans="3:32" x14ac:dyDescent="0.25">
      <c r="C47" t="s">
        <v>13</v>
      </c>
      <c r="D47">
        <f t="shared" ref="D47:F47" si="38">448.1*D27+1.6285</f>
        <v>49.605073333333351</v>
      </c>
      <c r="E47">
        <f t="shared" si="38"/>
        <v>50.366843333333343</v>
      </c>
      <c r="F47">
        <f t="shared" si="38"/>
        <v>50.725323333333357</v>
      </c>
      <c r="G47" s="1">
        <f t="shared" si="27"/>
        <v>50.232413333333348</v>
      </c>
      <c r="H47" s="1">
        <f t="shared" si="28"/>
        <v>0.57209578245255543</v>
      </c>
      <c r="J47" t="s">
        <v>13</v>
      </c>
      <c r="K47">
        <v>145.80000000000001</v>
      </c>
      <c r="L47">
        <v>143.69999999999999</v>
      </c>
      <c r="M47">
        <v>144.30000000000001</v>
      </c>
      <c r="O47">
        <v>146.5</v>
      </c>
      <c r="P47">
        <v>143.9</v>
      </c>
      <c r="Q47">
        <v>144.6</v>
      </c>
      <c r="S47">
        <f t="shared" si="29"/>
        <v>0.69999999999998863</v>
      </c>
      <c r="T47">
        <f t="shared" si="30"/>
        <v>0.20000000000001705</v>
      </c>
      <c r="U47">
        <f t="shared" si="31"/>
        <v>0.29999999999998295</v>
      </c>
      <c r="V47" s="3">
        <f t="shared" si="32"/>
        <v>0.39999999999999619</v>
      </c>
      <c r="W47" s="3">
        <f t="shared" si="33"/>
        <v>0.26457513110644942</v>
      </c>
      <c r="Y47">
        <f t="shared" si="34"/>
        <v>125.58103333333456</v>
      </c>
    </row>
    <row r="48" spans="3:32" x14ac:dyDescent="0.25">
      <c r="C48" t="s">
        <v>14</v>
      </c>
      <c r="D48">
        <f t="shared" ref="D48:F48" si="39">448.1*D28+1.6285</f>
        <v>60.49390333333335</v>
      </c>
      <c r="E48">
        <f t="shared" si="39"/>
        <v>62.151873333333342</v>
      </c>
      <c r="F48">
        <f t="shared" si="39"/>
        <v>60.67314333333335</v>
      </c>
      <c r="G48" s="1">
        <f t="shared" si="27"/>
        <v>61.106306666666683</v>
      </c>
      <c r="H48" s="1">
        <f t="shared" si="28"/>
        <v>0.90991152604707926</v>
      </c>
      <c r="J48" t="s">
        <v>14</v>
      </c>
      <c r="K48">
        <v>145.30000000000001</v>
      </c>
      <c r="L48">
        <v>148.4</v>
      </c>
      <c r="M48">
        <v>148.30000000000001</v>
      </c>
      <c r="O48">
        <v>145.9</v>
      </c>
      <c r="P48">
        <v>149.1</v>
      </c>
      <c r="Q48">
        <v>148.80000000000001</v>
      </c>
      <c r="S48">
        <f t="shared" si="29"/>
        <v>0.59999999999999432</v>
      </c>
      <c r="T48">
        <f t="shared" si="30"/>
        <v>0.69999999999998863</v>
      </c>
      <c r="U48">
        <f t="shared" si="31"/>
        <v>0.5</v>
      </c>
      <c r="V48" s="3">
        <f t="shared" si="32"/>
        <v>0.59999999999999432</v>
      </c>
      <c r="W48" s="3">
        <f t="shared" si="33"/>
        <v>9.9999999999994496E-2</v>
      </c>
      <c r="Y48">
        <f t="shared" si="34"/>
        <v>101.84384444444544</v>
      </c>
      <c r="Z48">
        <f>AVERAGE(Y48:Y50)</f>
        <v>116.715112592593</v>
      </c>
      <c r="AA48">
        <f>STDEV(Y48:Y50)</f>
        <v>19.226674151368954</v>
      </c>
      <c r="AB48" t="s">
        <v>45</v>
      </c>
    </row>
    <row r="49" spans="3:28" x14ac:dyDescent="0.25">
      <c r="C49" t="s">
        <v>15</v>
      </c>
      <c r="D49">
        <f t="shared" ref="D49:F49" si="40">448.1*D29+1.6285</f>
        <v>53.279493333333349</v>
      </c>
      <c r="E49">
        <f t="shared" si="40"/>
        <v>55.07189333333335</v>
      </c>
      <c r="F49">
        <f t="shared" si="40"/>
        <v>56.461003333333345</v>
      </c>
      <c r="G49" s="1">
        <f t="shared" si="27"/>
        <v>54.937463333333348</v>
      </c>
      <c r="H49" s="1">
        <f t="shared" si="28"/>
        <v>1.5950094164925779</v>
      </c>
      <c r="J49" t="s">
        <v>15</v>
      </c>
      <c r="K49">
        <v>147.5</v>
      </c>
      <c r="L49">
        <v>142.80000000000001</v>
      </c>
      <c r="M49">
        <v>143.4</v>
      </c>
      <c r="O49">
        <v>148.1</v>
      </c>
      <c r="P49">
        <v>143.1</v>
      </c>
      <c r="Q49">
        <v>144</v>
      </c>
      <c r="S49">
        <f t="shared" si="29"/>
        <v>0.59999999999999432</v>
      </c>
      <c r="T49">
        <f t="shared" si="30"/>
        <v>0.29999999999998295</v>
      </c>
      <c r="U49">
        <f t="shared" si="31"/>
        <v>0.59999999999999432</v>
      </c>
      <c r="V49" s="3">
        <f t="shared" si="32"/>
        <v>0.49999999999999051</v>
      </c>
      <c r="W49" s="3">
        <f t="shared" si="33"/>
        <v>0.17320508075689423</v>
      </c>
      <c r="Y49">
        <f t="shared" si="34"/>
        <v>109.87492666666878</v>
      </c>
    </row>
    <row r="50" spans="3:28" x14ac:dyDescent="0.25">
      <c r="C50" t="s">
        <v>16</v>
      </c>
      <c r="D50">
        <f t="shared" ref="D50:F50" si="41">448.1*D30+1.6285</f>
        <v>55.25113333333335</v>
      </c>
      <c r="E50">
        <f t="shared" si="41"/>
        <v>56.192143333333348</v>
      </c>
      <c r="F50">
        <f t="shared" si="41"/>
        <v>54.668603333333344</v>
      </c>
      <c r="G50" s="1">
        <f t="shared" si="27"/>
        <v>55.370626666666681</v>
      </c>
      <c r="H50" s="1">
        <f t="shared" si="28"/>
        <v>0.76876688627524536</v>
      </c>
      <c r="J50" t="s">
        <v>16</v>
      </c>
      <c r="K50">
        <v>144.6</v>
      </c>
      <c r="L50">
        <v>142</v>
      </c>
      <c r="M50">
        <v>143.5</v>
      </c>
      <c r="O50">
        <v>144.69999999999999</v>
      </c>
      <c r="P50">
        <v>142.80000000000001</v>
      </c>
      <c r="Q50">
        <v>143.80000000000001</v>
      </c>
      <c r="S50">
        <f t="shared" si="29"/>
        <v>9.9999999999994316E-2</v>
      </c>
      <c r="T50">
        <f t="shared" si="30"/>
        <v>0.80000000000001137</v>
      </c>
      <c r="U50">
        <f t="shared" si="31"/>
        <v>0.30000000000001137</v>
      </c>
      <c r="V50" s="3">
        <f t="shared" si="32"/>
        <v>0.40000000000000568</v>
      </c>
      <c r="W50" s="3">
        <f t="shared" si="33"/>
        <v>0.36055512754640606</v>
      </c>
      <c r="Y50">
        <f t="shared" si="34"/>
        <v>138.42656666666474</v>
      </c>
    </row>
    <row r="51" spans="3:28" x14ac:dyDescent="0.25">
      <c r="C51" t="s">
        <v>17</v>
      </c>
      <c r="D51">
        <f t="shared" ref="D51:F51" si="42">448.1*D31+1.6285</f>
        <v>46.333943333333337</v>
      </c>
      <c r="E51">
        <f t="shared" si="42"/>
        <v>45.885843333333341</v>
      </c>
      <c r="F51">
        <f t="shared" si="42"/>
        <v>47.050903333333359</v>
      </c>
      <c r="G51" s="1">
        <f t="shared" si="27"/>
        <v>46.423563333333341</v>
      </c>
      <c r="H51" s="1">
        <f t="shared" si="28"/>
        <v>0.58767764054795524</v>
      </c>
      <c r="J51" t="s">
        <v>17</v>
      </c>
      <c r="K51">
        <v>144.19999999999999</v>
      </c>
      <c r="L51">
        <v>143.19999999999999</v>
      </c>
      <c r="M51">
        <v>143.6</v>
      </c>
      <c r="O51">
        <v>145.19999999999999</v>
      </c>
      <c r="P51">
        <v>144.4</v>
      </c>
      <c r="Q51">
        <v>145.69999999999999</v>
      </c>
      <c r="S51">
        <f t="shared" si="29"/>
        <v>1</v>
      </c>
      <c r="T51">
        <f t="shared" si="30"/>
        <v>1.2000000000000171</v>
      </c>
      <c r="U51">
        <f t="shared" si="31"/>
        <v>2.0999999999999943</v>
      </c>
      <c r="V51" s="3">
        <f t="shared" si="32"/>
        <v>1.4333333333333371</v>
      </c>
      <c r="W51" s="3">
        <f t="shared" si="33"/>
        <v>0.58594652770822497</v>
      </c>
      <c r="Y51">
        <f t="shared" si="34"/>
        <v>32.388532558139453</v>
      </c>
      <c r="Z51">
        <f>AVERAGE(Y51:Y53)</f>
        <v>35.428923428932649</v>
      </c>
      <c r="AA51">
        <f>STDEV(Y51:Y53)</f>
        <v>2.6433048608981857</v>
      </c>
      <c r="AB51" t="s">
        <v>46</v>
      </c>
    </row>
    <row r="52" spans="3:28" x14ac:dyDescent="0.25">
      <c r="C52" t="s">
        <v>18</v>
      </c>
      <c r="D52">
        <f t="shared" ref="D52:F52" si="43">448.1*D32+1.6285</f>
        <v>54.489363333333365</v>
      </c>
      <c r="E52">
        <f t="shared" si="43"/>
        <v>49.022543333333346</v>
      </c>
      <c r="F52">
        <f t="shared" si="43"/>
        <v>48.932923333333349</v>
      </c>
      <c r="G52" s="1">
        <f t="shared" si="27"/>
        <v>50.814943333333353</v>
      </c>
      <c r="H52" s="1">
        <f t="shared" si="28"/>
        <v>3.1824565493341881</v>
      </c>
      <c r="J52" t="s">
        <v>18</v>
      </c>
      <c r="K52">
        <v>144.5</v>
      </c>
      <c r="L52">
        <v>143.4</v>
      </c>
      <c r="M52">
        <v>142.69999999999999</v>
      </c>
      <c r="O52">
        <v>145.80000000000001</v>
      </c>
      <c r="P52">
        <v>144.9</v>
      </c>
      <c r="Q52">
        <v>144</v>
      </c>
      <c r="S52">
        <f t="shared" si="29"/>
        <v>1.3000000000000114</v>
      </c>
      <c r="T52">
        <f t="shared" si="30"/>
        <v>1.5</v>
      </c>
      <c r="U52">
        <f t="shared" si="31"/>
        <v>1.3000000000000114</v>
      </c>
      <c r="V52" s="3">
        <f t="shared" si="32"/>
        <v>1.3666666666666742</v>
      </c>
      <c r="W52" s="3">
        <f t="shared" si="33"/>
        <v>0.11547005383791858</v>
      </c>
      <c r="Y52">
        <f t="shared" si="34"/>
        <v>37.181665853658345</v>
      </c>
    </row>
    <row r="53" spans="3:28" x14ac:dyDescent="0.25">
      <c r="C53" t="s">
        <v>19</v>
      </c>
      <c r="D53">
        <f t="shared" ref="D53:F53" si="44">448.1*D33+1.6285</f>
        <v>39.970923333333346</v>
      </c>
      <c r="E53">
        <f t="shared" si="44"/>
        <v>38.044093333333358</v>
      </c>
      <c r="F53">
        <f t="shared" si="44"/>
        <v>39.478013333333351</v>
      </c>
      <c r="G53" s="1">
        <f t="shared" si="27"/>
        <v>39.164343333333349</v>
      </c>
      <c r="H53" s="1">
        <f t="shared" si="28"/>
        <v>1.0009795771642838</v>
      </c>
      <c r="J53" t="s">
        <v>19</v>
      </c>
      <c r="K53">
        <v>141.80000000000001</v>
      </c>
      <c r="L53">
        <v>143.4</v>
      </c>
      <c r="M53">
        <v>141.9</v>
      </c>
      <c r="O53">
        <v>142.9</v>
      </c>
      <c r="P53">
        <v>144.5</v>
      </c>
      <c r="Q53">
        <v>142.9</v>
      </c>
      <c r="S53">
        <f t="shared" si="29"/>
        <v>1.0999999999999943</v>
      </c>
      <c r="T53">
        <f t="shared" si="30"/>
        <v>1.0999999999999943</v>
      </c>
      <c r="U53">
        <f t="shared" si="31"/>
        <v>1</v>
      </c>
      <c r="V53" s="3">
        <f t="shared" si="32"/>
        <v>1.0666666666666629</v>
      </c>
      <c r="W53" s="3">
        <f t="shared" si="33"/>
        <v>5.7735026918959292E-2</v>
      </c>
      <c r="Y53">
        <f t="shared" si="34"/>
        <v>36.716571875000142</v>
      </c>
    </row>
    <row r="54" spans="3:28" x14ac:dyDescent="0.25">
      <c r="C54" t="s">
        <v>20</v>
      </c>
      <c r="D54">
        <f t="shared" ref="D54:F54" si="45">448.1*D34+1.6285</f>
        <v>39.298773333333344</v>
      </c>
      <c r="E54">
        <f t="shared" si="45"/>
        <v>40.956743333333357</v>
      </c>
      <c r="F54">
        <f t="shared" si="45"/>
        <v>40.419023333333342</v>
      </c>
      <c r="G54" s="1">
        <f t="shared" si="27"/>
        <v>40.224846666666679</v>
      </c>
      <c r="H54" s="1">
        <f t="shared" si="28"/>
        <v>0.84586911731859715</v>
      </c>
      <c r="J54" t="s">
        <v>20</v>
      </c>
      <c r="K54">
        <v>141.4</v>
      </c>
      <c r="L54">
        <v>143.30000000000001</v>
      </c>
      <c r="M54">
        <v>143.80000000000001</v>
      </c>
      <c r="O54">
        <v>142.30000000000001</v>
      </c>
      <c r="P54">
        <v>144.19999999999999</v>
      </c>
      <c r="Q54">
        <v>144.9</v>
      </c>
      <c r="S54">
        <f t="shared" si="29"/>
        <v>0.90000000000000568</v>
      </c>
      <c r="T54">
        <f t="shared" si="30"/>
        <v>0.89999999999997726</v>
      </c>
      <c r="U54">
        <f t="shared" si="31"/>
        <v>1.0999999999999943</v>
      </c>
      <c r="V54" s="3">
        <f t="shared" si="32"/>
        <v>0.96666666666665912</v>
      </c>
      <c r="W54" s="3">
        <f t="shared" si="33"/>
        <v>0.1154700538379268</v>
      </c>
      <c r="Y54">
        <f t="shared" si="34"/>
        <v>41.611910344827926</v>
      </c>
      <c r="Z54">
        <f>AVERAGE(Y54:Y56)</f>
        <v>59.446697522350725</v>
      </c>
      <c r="AA54">
        <f>STDEV(Y54:Y56)</f>
        <v>29.582190747157519</v>
      </c>
      <c r="AB54" t="s">
        <v>47</v>
      </c>
    </row>
    <row r="55" spans="3:28" x14ac:dyDescent="0.25">
      <c r="C55" t="s">
        <v>21</v>
      </c>
      <c r="D55">
        <f t="shared" ref="D55:F55" si="46">448.1*D35+1.6285</f>
        <v>45.796223333333351</v>
      </c>
      <c r="E55">
        <f t="shared" si="46"/>
        <v>48.619253333333361</v>
      </c>
      <c r="F55">
        <f t="shared" si="46"/>
        <v>45.975463333333352</v>
      </c>
      <c r="G55" s="1">
        <f t="shared" si="27"/>
        <v>46.796980000000019</v>
      </c>
      <c r="H55" s="1">
        <f t="shared" si="28"/>
        <v>1.5806776459586411</v>
      </c>
      <c r="J55" t="s">
        <v>21</v>
      </c>
      <c r="K55">
        <v>143</v>
      </c>
      <c r="L55">
        <v>143.1</v>
      </c>
      <c r="M55">
        <v>142.9</v>
      </c>
      <c r="O55">
        <v>143.6</v>
      </c>
      <c r="P55">
        <v>143.69999999999999</v>
      </c>
      <c r="Q55">
        <v>143.19999999999999</v>
      </c>
      <c r="S55">
        <f t="shared" si="29"/>
        <v>0.59999999999999432</v>
      </c>
      <c r="T55">
        <f t="shared" si="30"/>
        <v>0.59999999999999432</v>
      </c>
      <c r="U55">
        <f t="shared" si="31"/>
        <v>0.29999999999998295</v>
      </c>
      <c r="V55" s="3">
        <f t="shared" si="32"/>
        <v>0.49999999999999051</v>
      </c>
      <c r="W55" s="3">
        <f t="shared" si="33"/>
        <v>0.17320508075689423</v>
      </c>
      <c r="Y55">
        <f t="shared" si="34"/>
        <v>93.593960000001815</v>
      </c>
    </row>
    <row r="56" spans="3:28" x14ac:dyDescent="0.25">
      <c r="C56" t="s">
        <v>22</v>
      </c>
      <c r="D56">
        <f t="shared" ref="D56:F56" si="47">448.1*D36+1.6285</f>
        <v>39.119533333333337</v>
      </c>
      <c r="E56">
        <f t="shared" si="47"/>
        <v>37.282323333333338</v>
      </c>
      <c r="F56">
        <f t="shared" si="47"/>
        <v>40.060543333333356</v>
      </c>
      <c r="G56" s="1">
        <f t="shared" si="27"/>
        <v>38.820800000000013</v>
      </c>
      <c r="H56" s="1">
        <f t="shared" si="28"/>
        <v>1.4129960351796307</v>
      </c>
      <c r="J56" t="s">
        <v>22</v>
      </c>
      <c r="K56">
        <v>143.1</v>
      </c>
      <c r="L56">
        <v>143.80000000000001</v>
      </c>
      <c r="M56">
        <v>143.69999999999999</v>
      </c>
      <c r="O56">
        <v>144.4</v>
      </c>
      <c r="P56">
        <v>144.69999999999999</v>
      </c>
      <c r="Q56">
        <v>144.19999999999999</v>
      </c>
      <c r="S56">
        <f t="shared" si="29"/>
        <v>1.3000000000000114</v>
      </c>
      <c r="T56">
        <f t="shared" si="30"/>
        <v>0.89999999999997726</v>
      </c>
      <c r="U56">
        <f t="shared" si="31"/>
        <v>0.5</v>
      </c>
      <c r="V56" s="3">
        <f t="shared" si="32"/>
        <v>0.89999999999999625</v>
      </c>
      <c r="W56" s="3">
        <f t="shared" si="33"/>
        <v>0.40000000000000546</v>
      </c>
      <c r="Y56">
        <f t="shared" si="34"/>
        <v>43.134222222222419</v>
      </c>
    </row>
    <row r="57" spans="3:28" x14ac:dyDescent="0.25">
      <c r="J57" t="s">
        <v>43</v>
      </c>
      <c r="K57">
        <v>142.6</v>
      </c>
      <c r="L57">
        <v>142.19999999999999</v>
      </c>
      <c r="M57">
        <v>142</v>
      </c>
      <c r="O57">
        <v>141.4</v>
      </c>
      <c r="P57">
        <v>142.1</v>
      </c>
      <c r="Q57">
        <v>141.4</v>
      </c>
      <c r="S57">
        <f t="shared" si="29"/>
        <v>-1.1999999999999886</v>
      </c>
      <c r="T57">
        <f t="shared" si="30"/>
        <v>-9.9999999999994316E-2</v>
      </c>
      <c r="U57">
        <f t="shared" si="31"/>
        <v>-0.59999999999999432</v>
      </c>
      <c r="V57" s="3">
        <f t="shared" ref="V57" si="48">AVERAGE(S57:U57)</f>
        <v>-0.63333333333332575</v>
      </c>
      <c r="W57" s="3">
        <f t="shared" ref="W57" si="49">STDEV(S57:U57)</f>
        <v>0.55075705472860725</v>
      </c>
      <c r="Y57">
        <f t="shared" si="34"/>
        <v>0</v>
      </c>
    </row>
    <row r="62" spans="3:28" x14ac:dyDescent="0.25">
      <c r="W62" t="s">
        <v>32</v>
      </c>
      <c r="Y62">
        <v>45.31882553191474</v>
      </c>
      <c r="Z62">
        <f>AVERAGE(Y62:Y65)</f>
        <v>38.72838124737541</v>
      </c>
      <c r="AA62">
        <f>STDEV(Y62:Y65)</f>
        <v>8.9651576836325138</v>
      </c>
    </row>
    <row r="63" spans="3:28" x14ac:dyDescent="0.25">
      <c r="Y63">
        <v>45.042796296296501</v>
      </c>
    </row>
    <row r="64" spans="3:28" x14ac:dyDescent="0.25">
      <c r="Y64">
        <v>26.170680645161347</v>
      </c>
    </row>
    <row r="65" spans="23:27" x14ac:dyDescent="0.25">
      <c r="Y65">
        <v>38.381222516129036</v>
      </c>
    </row>
    <row r="66" spans="23:27" x14ac:dyDescent="0.25">
      <c r="W66" t="s">
        <v>33</v>
      </c>
      <c r="Y66">
        <v>84.26836666666749</v>
      </c>
      <c r="Z66">
        <f>AVERAGE(Y66:Y69)</f>
        <v>85.195729392293131</v>
      </c>
      <c r="AA66">
        <f>STDEV(Y66:Y69)</f>
        <v>34.242069593752788</v>
      </c>
    </row>
    <row r="67" spans="23:27" x14ac:dyDescent="0.25">
      <c r="Y67">
        <v>88.996109090909584</v>
      </c>
    </row>
    <row r="68" spans="23:27" x14ac:dyDescent="0.25">
      <c r="Y68">
        <v>125.58103333333456</v>
      </c>
    </row>
    <row r="69" spans="23:27" x14ac:dyDescent="0.25">
      <c r="Y69">
        <v>41.937408478260863</v>
      </c>
    </row>
    <row r="70" spans="23:27" x14ac:dyDescent="0.25">
      <c r="W70" t="s">
        <v>45</v>
      </c>
      <c r="Y70">
        <v>101.84384444444544</v>
      </c>
      <c r="Z70">
        <f>AVERAGE(Y70:Y73)</f>
        <v>98.054049338810941</v>
      </c>
      <c r="AA70">
        <f>STDEV(Y70:Y73)</f>
        <v>40.48931290676466</v>
      </c>
    </row>
    <row r="71" spans="23:27" x14ac:dyDescent="0.25">
      <c r="Y71">
        <v>109.87492666666878</v>
      </c>
    </row>
    <row r="72" spans="23:27" x14ac:dyDescent="0.25">
      <c r="Y72">
        <v>138.42656666666474</v>
      </c>
    </row>
    <row r="73" spans="23:27" x14ac:dyDescent="0.25">
      <c r="Y73">
        <v>42.070859577464795</v>
      </c>
    </row>
    <row r="74" spans="23:27" x14ac:dyDescent="0.25">
      <c r="W74" t="s">
        <v>46</v>
      </c>
      <c r="Y74">
        <v>32.388532558139453</v>
      </c>
      <c r="Z74">
        <f>AVERAGE(Y74:Y77)</f>
        <v>39.751847901369814</v>
      </c>
      <c r="AA74">
        <f>STDEV(Y74:Y77)</f>
        <v>8.9111584190468776</v>
      </c>
    </row>
    <row r="75" spans="23:27" x14ac:dyDescent="0.25">
      <c r="Y75">
        <v>37.181665853658345</v>
      </c>
    </row>
    <row r="76" spans="23:27" x14ac:dyDescent="0.25">
      <c r="Y76">
        <v>36.716571875000142</v>
      </c>
    </row>
    <row r="77" spans="23:27" x14ac:dyDescent="0.25">
      <c r="Y77">
        <v>52.720621318681317</v>
      </c>
    </row>
    <row r="78" spans="23:27" x14ac:dyDescent="0.25">
      <c r="W78" t="s">
        <v>47</v>
      </c>
      <c r="Y78">
        <v>41.611910344827926</v>
      </c>
      <c r="Z78">
        <f>AVERAGE(Y78:Y81)</f>
        <v>56.642904852289362</v>
      </c>
      <c r="AA78">
        <f>STDEV(Y78:Y81)</f>
        <v>24.796149290045687</v>
      </c>
    </row>
    <row r="79" spans="23:27" x14ac:dyDescent="0.25">
      <c r="Y79">
        <v>93.593960000001815</v>
      </c>
    </row>
    <row r="80" spans="23:27" x14ac:dyDescent="0.25">
      <c r="Y80">
        <v>43.134222222222419</v>
      </c>
    </row>
    <row r="81" spans="25:25" x14ac:dyDescent="0.25">
      <c r="Y81">
        <v>48.231526842105268</v>
      </c>
    </row>
  </sheetData>
  <mergeCells count="26">
    <mergeCell ref="B21:C21"/>
    <mergeCell ref="P8:R8"/>
    <mergeCell ref="S8:U8"/>
    <mergeCell ref="V8:X8"/>
    <mergeCell ref="Y5:AA8"/>
    <mergeCell ref="P6:R6"/>
    <mergeCell ref="S6:U6"/>
    <mergeCell ref="V6:X6"/>
    <mergeCell ref="P7:R7"/>
    <mergeCell ref="S7:U7"/>
    <mergeCell ref="V7:X7"/>
    <mergeCell ref="P4:R4"/>
    <mergeCell ref="S4:U4"/>
    <mergeCell ref="V4:X4"/>
    <mergeCell ref="Y4:AA4"/>
    <mergeCell ref="P5:R5"/>
    <mergeCell ref="S5:U5"/>
    <mergeCell ref="V5:X5"/>
    <mergeCell ref="P2:R2"/>
    <mergeCell ref="S2:U2"/>
    <mergeCell ref="V2:X2"/>
    <mergeCell ref="Y2:AA2"/>
    <mergeCell ref="P3:R3"/>
    <mergeCell ref="S3:U3"/>
    <mergeCell ref="V3:X3"/>
    <mergeCell ref="Y3:AA3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MRCLab</dc:creator>
  <cp:lastModifiedBy>Daniel Larcombe</cp:lastModifiedBy>
  <dcterms:created xsi:type="dcterms:W3CDTF">2022-07-12T10:31:43Z</dcterms:created>
  <dcterms:modified xsi:type="dcterms:W3CDTF">2023-11-24T15:49:16Z</dcterms:modified>
</cp:coreProperties>
</file>